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macrosheets/sheet1.xml" ContentType="application/vnd.ms-excel.macro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ristiannilsen/Documents/repos/water100/"/>
    </mc:Choice>
  </mc:AlternateContent>
  <xr:revisionPtr revIDLastSave="0" documentId="13_ncr:1_{F5DCDF5B-2BDA-1C40-8774-3DDAF27CC89E}" xr6:coauthVersionLast="47" xr6:coauthVersionMax="47" xr10:uidLastSave="{00000000-0000-0000-0000-000000000000}"/>
  <bookViews>
    <workbookView xWindow="0" yWindow="1140" windowWidth="27040" windowHeight="16860" xr2:uid="{3CFDE234-456F-3048-8CCD-C250E760A454}"/>
  </bookViews>
  <sheets>
    <sheet name="Parameters" sheetId="1" r:id="rId1"/>
    <sheet name="6ppd_data" sheetId="2" r:id="rId2"/>
    <sheet name="Macro1" sheetId="4" r:id="rId3"/>
    <sheet name="Sheet2" sheetId="3" r:id="rId4"/>
  </sheets>
  <functionGroups builtInGroupCount="19"/>
  <definedNames>
    <definedName name="_xlpm.LargeValue1" hidden="1" xlm="1">#NAME?</definedName>
    <definedName name="_xlpm.SmallValue1" hidden="1" xlm="1">#NAME?</definedName>
    <definedName name="_xlpm.VLookup1" hidden="1" xlm="1">#NAME?</definedName>
    <definedName name="_xlpm.VLookup2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E14" i="1" s="1"/>
  <c r="E19" i="1"/>
  <c r="E10" i="1"/>
  <c r="E4" i="1"/>
  <c r="E6" i="1"/>
  <c r="E12" i="1" l="1"/>
  <c r="E11" i="1"/>
  <c r="E7" i="1"/>
  <c r="E15" i="1" s="1"/>
  <c r="E16" i="1" s="1"/>
  <c r="E13" i="1" l="1"/>
  <c r="E17" i="1" s="1"/>
  <c r="E20" i="1" s="1"/>
  <c r="E18" i="1"/>
  <c r="E21" i="1" s="1"/>
  <c r="E22" i="1" l="1"/>
  <c r="E23" i="1" s="1"/>
</calcChain>
</file>

<file path=xl/sharedStrings.xml><?xml version="1.0" encoding="utf-8"?>
<sst xmlns="http://schemas.openxmlformats.org/spreadsheetml/2006/main" count="156" uniqueCount="53">
  <si>
    <t xml:space="preserve">Module </t>
  </si>
  <si>
    <t>Runoff</t>
  </si>
  <si>
    <t>Action</t>
  </si>
  <si>
    <t>Upstream</t>
  </si>
  <si>
    <t>Receiving Water</t>
  </si>
  <si>
    <t>Vin</t>
  </si>
  <si>
    <t>Cin</t>
  </si>
  <si>
    <t>Vout</t>
  </si>
  <si>
    <t>Cout</t>
  </si>
  <si>
    <t>Vup</t>
  </si>
  <si>
    <t>Cup</t>
  </si>
  <si>
    <t>Parameter</t>
  </si>
  <si>
    <t>Units</t>
  </si>
  <si>
    <t>L/year</t>
  </si>
  <si>
    <t>Scenario</t>
  </si>
  <si>
    <t>Value</t>
  </si>
  <si>
    <t>A</t>
  </si>
  <si>
    <t>6ppd</t>
  </si>
  <si>
    <t>Constituent</t>
  </si>
  <si>
    <t>water</t>
  </si>
  <si>
    <t>Vwater0</t>
  </si>
  <si>
    <t>Cwater0</t>
  </si>
  <si>
    <t>Mass0</t>
  </si>
  <si>
    <t>kg/year</t>
  </si>
  <si>
    <t xml:space="preserve">6ppd </t>
  </si>
  <si>
    <t>mcg/L</t>
  </si>
  <si>
    <t>Min</t>
  </si>
  <si>
    <t>Massout</t>
  </si>
  <si>
    <t>Massup</t>
  </si>
  <si>
    <t>Vwater1</t>
  </si>
  <si>
    <t>Cwater1</t>
  </si>
  <si>
    <t>Mass1</t>
  </si>
  <si>
    <t>Batch</t>
  </si>
  <si>
    <t>Nominal conc. (ng/L)</t>
  </si>
  <si>
    <t>Measured conc. (ng/L)</t>
  </si>
  <si>
    <t>% Conc. error a</t>
  </si>
  <si>
    <t>Mortality ratio</t>
  </si>
  <si>
    <t>Mortality %</t>
  </si>
  <si>
    <t>0/6</t>
  </si>
  <si>
    <t>Chemical</t>
  </si>
  <si>
    <t>6ppd-q</t>
  </si>
  <si>
    <t>mortality0</t>
  </si>
  <si>
    <t>mortality1</t>
  </si>
  <si>
    <t>%</t>
  </si>
  <si>
    <t>Coho</t>
  </si>
  <si>
    <t>Capacity</t>
  </si>
  <si>
    <t>Count0</t>
  </si>
  <si>
    <t>Count1</t>
  </si>
  <si>
    <t>Benefit</t>
  </si>
  <si>
    <t>count</t>
  </si>
  <si>
    <t>dose</t>
  </si>
  <si>
    <t>response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</si>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</sst>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%"/>
    <numFmt numFmtId="174" formatCode="_(* #,##0_);_(* \(#,##0\);_(* &quot;-&quot;??_);_(@_)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Aptos Display"/>
    </font>
    <font>
      <sz val="10"/>
      <color theme="1"/>
      <name val="Aptos Display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">
    <xf numFmtId="0" fontId="0" fillId="0" borderId="0" xfId="0"/>
    <xf numFmtId="164" fontId="0" fillId="0" borderId="0" xfId="1" applyNumberFormat="1" applyFont="1"/>
    <xf numFmtId="9" fontId="0" fillId="0" borderId="0" xfId="0" applyNumberFormat="1"/>
    <xf numFmtId="16" fontId="0" fillId="0" borderId="0" xfId="0" applyNumberFormat="1"/>
    <xf numFmtId="2" fontId="0" fillId="0" borderId="0" xfId="0" applyNumberFormat="1"/>
    <xf numFmtId="0" fontId="5" fillId="0" borderId="0" xfId="0" applyFont="1"/>
    <xf numFmtId="11" fontId="5" fillId="0" borderId="0" xfId="2" applyNumberFormat="1" applyFont="1"/>
    <xf numFmtId="11" fontId="4" fillId="0" borderId="0" xfId="2" applyNumberFormat="1" applyFont="1"/>
    <xf numFmtId="0" fontId="2" fillId="2" borderId="1" xfId="3"/>
    <xf numFmtId="0" fontId="3" fillId="3" borderId="1" xfId="4"/>
    <xf numFmtId="11" fontId="3" fillId="3" borderId="1" xfId="4" applyNumberFormat="1"/>
    <xf numFmtId="11" fontId="2" fillId="2" borderId="1" xfId="3" applyNumberFormat="1"/>
    <xf numFmtId="174" fontId="3" fillId="3" borderId="1" xfId="4" applyNumberFormat="1"/>
    <xf numFmtId="43" fontId="2" fillId="2" borderId="1" xfId="3" applyNumberFormat="1"/>
    <xf numFmtId="9" fontId="4" fillId="0" borderId="0" xfId="1" applyFont="1"/>
  </cellXfs>
  <cellStyles count="5">
    <cellStyle name="Calculation" xfId="4" builtinId="22"/>
    <cellStyle name="Comma" xfId="2" builtinId="3"/>
    <cellStyle name="Input" xfId="3" builtinId="20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microsoft.com/office/2006/relationships/xlMacrosheet" Target="macro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'6ppd_data'!$I$3</c:f>
              <c:strCache>
                <c:ptCount val="1"/>
                <c:pt idx="0">
                  <c:v>Mortality %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'6ppd_data'!$F$4:$F$26</c:f>
              <c:numCache>
                <c:formatCode>General</c:formatCode>
                <c:ptCount val="23"/>
                <c:pt idx="0">
                  <c:v>23.1</c:v>
                </c:pt>
                <c:pt idx="1">
                  <c:v>41.1</c:v>
                </c:pt>
                <c:pt idx="2">
                  <c:v>73</c:v>
                </c:pt>
                <c:pt idx="3">
                  <c:v>130</c:v>
                </c:pt>
                <c:pt idx="4">
                  <c:v>231</c:v>
                </c:pt>
                <c:pt idx="5">
                  <c:v>53.2</c:v>
                </c:pt>
                <c:pt idx="6">
                  <c:v>68.900000000000006</c:v>
                </c:pt>
                <c:pt idx="7">
                  <c:v>97.1</c:v>
                </c:pt>
                <c:pt idx="8">
                  <c:v>122</c:v>
                </c:pt>
                <c:pt idx="9">
                  <c:v>162</c:v>
                </c:pt>
                <c:pt idx="10">
                  <c:v>226</c:v>
                </c:pt>
                <c:pt idx="11">
                  <c:v>68.099999999999994</c:v>
                </c:pt>
                <c:pt idx="12">
                  <c:v>83.5</c:v>
                </c:pt>
                <c:pt idx="13">
                  <c:v>99.3</c:v>
                </c:pt>
                <c:pt idx="14">
                  <c:v>115</c:v>
                </c:pt>
                <c:pt idx="15">
                  <c:v>154</c:v>
                </c:pt>
                <c:pt idx="16">
                  <c:v>194</c:v>
                </c:pt>
                <c:pt idx="17">
                  <c:v>70.5</c:v>
                </c:pt>
                <c:pt idx="18">
                  <c:v>84.6</c:v>
                </c:pt>
                <c:pt idx="19">
                  <c:v>105</c:v>
                </c:pt>
                <c:pt idx="20">
                  <c:v>124</c:v>
                </c:pt>
                <c:pt idx="21">
                  <c:v>151</c:v>
                </c:pt>
                <c:pt idx="22">
                  <c:v>190</c:v>
                </c:pt>
              </c:numCache>
            </c:numRef>
          </c:xVal>
          <c:yVal>
            <c:numRef>
              <c:f>'6ppd_data'!$I$4:$I$26</c:f>
              <c:numCache>
                <c:formatCode>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0.67</c:v>
                </c:pt>
                <c:pt idx="4">
                  <c:v>1</c:v>
                </c:pt>
                <c:pt idx="5">
                  <c:v>0</c:v>
                </c:pt>
                <c:pt idx="6">
                  <c:v>0.2</c:v>
                </c:pt>
                <c:pt idx="7">
                  <c:v>0.67</c:v>
                </c:pt>
                <c:pt idx="8">
                  <c:v>0.67</c:v>
                </c:pt>
                <c:pt idx="9">
                  <c:v>0.83</c:v>
                </c:pt>
                <c:pt idx="10">
                  <c:v>0.83</c:v>
                </c:pt>
                <c:pt idx="11">
                  <c:v>0</c:v>
                </c:pt>
                <c:pt idx="12">
                  <c:v>0.33</c:v>
                </c:pt>
                <c:pt idx="13">
                  <c:v>0.4</c:v>
                </c:pt>
                <c:pt idx="14">
                  <c:v>0.67</c:v>
                </c:pt>
                <c:pt idx="15">
                  <c:v>0.5</c:v>
                </c:pt>
                <c:pt idx="16">
                  <c:v>0.83</c:v>
                </c:pt>
                <c:pt idx="17">
                  <c:v>0.5</c:v>
                </c:pt>
                <c:pt idx="18">
                  <c:v>0.83</c:v>
                </c:pt>
                <c:pt idx="19">
                  <c:v>1</c:v>
                </c:pt>
                <c:pt idx="20">
                  <c:v>0.8</c:v>
                </c:pt>
                <c:pt idx="21">
                  <c:v>0.67</c:v>
                </c:pt>
                <c:pt idx="22">
                  <c:v>0.67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9-224F-89A8-5EAC11876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48704"/>
        <c:axId val="286478191"/>
      </c:scatterChart>
      <c:valAx>
        <c:axId val="56548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478191"/>
        <c:crosses val="autoZero"/>
        <c:crossBetween val="midCat"/>
      </c:valAx>
      <c:valAx>
        <c:axId val="28647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response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Sheet2!$B$2:$B$32</c:f>
              <c:numCache>
                <c:formatCode>General</c:formatCode>
                <c:ptCount val="31"/>
                <c:pt idx="0" formatCode="0.00">
                  <c:v>0</c:v>
                </c:pt>
                <c:pt idx="1">
                  <c:v>0.01</c:v>
                </c:pt>
                <c:pt idx="2" formatCode="0.00">
                  <c:v>0.02</c:v>
                </c:pt>
                <c:pt idx="3">
                  <c:v>0.03</c:v>
                </c:pt>
                <c:pt idx="4" formatCode="0.00">
                  <c:v>0.04</c:v>
                </c:pt>
                <c:pt idx="5">
                  <c:v>0.05</c:v>
                </c:pt>
                <c:pt idx="6" formatCode="0.00">
                  <c:v>0.06</c:v>
                </c:pt>
                <c:pt idx="7">
                  <c:v>7.0000000000000007E-2</c:v>
                </c:pt>
                <c:pt idx="8" formatCode="0.00">
                  <c:v>0.08</c:v>
                </c:pt>
                <c:pt idx="9">
                  <c:v>0.09</c:v>
                </c:pt>
                <c:pt idx="10" formatCode="0.00">
                  <c:v>0.1</c:v>
                </c:pt>
                <c:pt idx="11">
                  <c:v>0.11</c:v>
                </c:pt>
                <c:pt idx="12" formatCode="0.00">
                  <c:v>0.12</c:v>
                </c:pt>
                <c:pt idx="13">
                  <c:v>0.13</c:v>
                </c:pt>
                <c:pt idx="14" formatCode="0.00">
                  <c:v>0.14000000000000001</c:v>
                </c:pt>
                <c:pt idx="15">
                  <c:v>0.15</c:v>
                </c:pt>
                <c:pt idx="16" formatCode="0.00">
                  <c:v>0.16</c:v>
                </c:pt>
                <c:pt idx="17">
                  <c:v>0.17</c:v>
                </c:pt>
                <c:pt idx="18" formatCode="0.00">
                  <c:v>0.18</c:v>
                </c:pt>
                <c:pt idx="19">
                  <c:v>0.19</c:v>
                </c:pt>
                <c:pt idx="20" formatCode="0.00">
                  <c:v>0.2</c:v>
                </c:pt>
                <c:pt idx="21">
                  <c:v>0.21</c:v>
                </c:pt>
                <c:pt idx="22" formatCode="0.00">
                  <c:v>0.22</c:v>
                </c:pt>
                <c:pt idx="23">
                  <c:v>0.23</c:v>
                </c:pt>
                <c:pt idx="24" formatCode="0.00">
                  <c:v>0.24</c:v>
                </c:pt>
                <c:pt idx="25">
                  <c:v>0.25</c:v>
                </c:pt>
                <c:pt idx="26" formatCode="0.00">
                  <c:v>0.26</c:v>
                </c:pt>
                <c:pt idx="27">
                  <c:v>0.27</c:v>
                </c:pt>
                <c:pt idx="28" formatCode="0.00">
                  <c:v>0.28000000000000003</c:v>
                </c:pt>
                <c:pt idx="29">
                  <c:v>0.28999999999999998</c:v>
                </c:pt>
                <c:pt idx="30" formatCode="0.00">
                  <c:v>0.3</c:v>
                </c:pt>
              </c:numCache>
            </c:numRef>
          </c:xVal>
          <c:yVal>
            <c:numRef>
              <c:f>Sheet2!$C$2:$C$32</c:f>
              <c:numCache>
                <c:formatCode>General</c:formatCode>
                <c:ptCount val="31"/>
                <c:pt idx="0">
                  <c:v>0</c:v>
                </c:pt>
                <c:pt idx="1">
                  <c:v>1.34202712385877E-3</c:v>
                </c:pt>
                <c:pt idx="2">
                  <c:v>9.7699459496888193E-3</c:v>
                </c:pt>
                <c:pt idx="3">
                  <c:v>3.0696106800566499E-2</c:v>
                </c:pt>
                <c:pt idx="4">
                  <c:v>6.7545329452827499E-2</c:v>
                </c:pt>
                <c:pt idx="5">
                  <c:v>0.120975551092281</c:v>
                </c:pt>
                <c:pt idx="6">
                  <c:v>0.18864517483805601</c:v>
                </c:pt>
                <c:pt idx="7">
                  <c:v>0.26590974845756299</c:v>
                </c:pt>
                <c:pt idx="8">
                  <c:v>0.34718933419196801</c:v>
                </c:pt>
                <c:pt idx="9">
                  <c:v>0.42735434856410698</c:v>
                </c:pt>
                <c:pt idx="10">
                  <c:v>0.50259510089961201</c:v>
                </c:pt>
                <c:pt idx="11">
                  <c:v>0.57065111447218198</c:v>
                </c:pt>
                <c:pt idx="12">
                  <c:v>0.63059428257610295</c:v>
                </c:pt>
                <c:pt idx="13">
                  <c:v>0.68243463171306795</c:v>
                </c:pt>
                <c:pt idx="14">
                  <c:v>0.72673695444186803</c:v>
                </c:pt>
                <c:pt idx="15">
                  <c:v>0.76432953158426897</c:v>
                </c:pt>
                <c:pt idx="16">
                  <c:v>0.796115052404336</c:v>
                </c:pt>
                <c:pt idx="17">
                  <c:v>0.82296324829869005</c:v>
                </c:pt>
                <c:pt idx="18">
                  <c:v>0.84565891970028495</c:v>
                </c:pt>
                <c:pt idx="19">
                  <c:v>0.86488348607043597</c:v>
                </c:pt>
                <c:pt idx="20">
                  <c:v>0.881214867752102</c:v>
                </c:pt>
                <c:pt idx="21">
                  <c:v>0.895136220168396</c:v>
                </c:pt>
                <c:pt idx="22">
                  <c:v>0.90704806530027304</c:v>
                </c:pt>
                <c:pt idx="23">
                  <c:v>0.91728091813853796</c:v>
                </c:pt>
                <c:pt idx="24">
                  <c:v>0.92610701353626601</c:v>
                </c:pt>
                <c:pt idx="25">
                  <c:v>0.93375057788776605</c:v>
                </c:pt>
                <c:pt idx="26">
                  <c:v>0.94039652836549503</c:v>
                </c:pt>
                <c:pt idx="27">
                  <c:v>0.94619769230409501</c:v>
                </c:pt>
                <c:pt idx="28">
                  <c:v>0.95128072477573</c:v>
                </c:pt>
                <c:pt idx="29">
                  <c:v>0.95575092361389002</c:v>
                </c:pt>
                <c:pt idx="30">
                  <c:v>0.95969613165289702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1B-6F4F-9A27-8D6F7A026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53760"/>
        <c:axId val="1959493775"/>
      </c:scatterChart>
      <c:valAx>
        <c:axId val="8895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493775"/>
        <c:crosses val="autoZero"/>
        <c:crossBetween val="midCat"/>
      </c:valAx>
      <c:valAx>
        <c:axId val="1959493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5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6</xdr:row>
      <xdr:rowOff>76200</xdr:rowOff>
    </xdr:from>
    <xdr:to>
      <xdr:col>16</xdr:col>
      <xdr:colOff>152400</xdr:colOff>
      <xdr:row>19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CDD394-7512-6996-5AAB-0B74B6F084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596900</xdr:colOff>
      <xdr:row>9</xdr:row>
      <xdr:rowOff>57150</xdr:rowOff>
    </xdr:from>
    <xdr:to>
      <xdr:col>11</xdr:col>
      <xdr:colOff>215900</xdr:colOff>
      <xdr:row>22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08600C-CACE-745C-CB60-3159DB8AD4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BC188CF-268D-E842-A285-BE98CAF61B5A}">
  <dimension ref="A1"/>
  <sheetViews>
    <sheetView showFormulas="1" workbookViewId="0">
      <selection activeCell="D15" sqref="D15"/>
    </sheetView>
  </sheetViews>
  <sheetFormatPr baseColWidth="10" defaultRowHeight="16" x14ac:dyDescent="0.2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A3A9A-7A83-484D-ADB0-E3A7617F18D2}">
  <sheetPr codeName="Sheet1"/>
  <dimension ref="A1:G23"/>
  <sheetViews>
    <sheetView tabSelected="1" zoomScale="185" workbookViewId="0">
      <selection activeCell="E2" sqref="E2"/>
    </sheetView>
  </sheetViews>
  <sheetFormatPr baseColWidth="10" defaultRowHeight="16" x14ac:dyDescent="0.2"/>
  <cols>
    <col min="1" max="1" width="14.6640625" bestFit="1" customWidth="1"/>
    <col min="5" max="5" width="12.5" style="7" bestFit="1" customWidth="1"/>
  </cols>
  <sheetData>
    <row r="1" spans="1:7" x14ac:dyDescent="0.2">
      <c r="A1" s="5" t="s">
        <v>0</v>
      </c>
      <c r="B1" s="5" t="s">
        <v>11</v>
      </c>
      <c r="C1" s="5" t="s">
        <v>14</v>
      </c>
      <c r="D1" s="5" t="s">
        <v>18</v>
      </c>
      <c r="E1" s="6" t="s">
        <v>15</v>
      </c>
      <c r="F1" s="5" t="s">
        <v>12</v>
      </c>
    </row>
    <row r="2" spans="1:7" x14ac:dyDescent="0.2">
      <c r="A2" s="8" t="s">
        <v>1</v>
      </c>
      <c r="B2" s="8" t="s">
        <v>5</v>
      </c>
      <c r="C2" s="8" t="s">
        <v>16</v>
      </c>
      <c r="D2" s="8" t="s">
        <v>19</v>
      </c>
      <c r="E2" s="11">
        <v>40521878</v>
      </c>
      <c r="F2" s="8" t="s">
        <v>13</v>
      </c>
    </row>
    <row r="3" spans="1:7" x14ac:dyDescent="0.2">
      <c r="A3" s="8" t="s">
        <v>1</v>
      </c>
      <c r="B3" s="8" t="s">
        <v>6</v>
      </c>
      <c r="C3" s="8" t="s">
        <v>16</v>
      </c>
      <c r="D3" s="8" t="s">
        <v>17</v>
      </c>
      <c r="E3" s="13">
        <v>1</v>
      </c>
      <c r="F3" s="8" t="s">
        <v>25</v>
      </c>
    </row>
    <row r="4" spans="1:7" x14ac:dyDescent="0.2">
      <c r="A4" s="9" t="s">
        <v>1</v>
      </c>
      <c r="B4" s="9" t="s">
        <v>26</v>
      </c>
      <c r="C4" s="9" t="s">
        <v>16</v>
      </c>
      <c r="D4" s="9" t="s">
        <v>17</v>
      </c>
      <c r="E4" s="10">
        <f>E2*E3*0.000000001</f>
        <v>4.0521878000000004E-2</v>
      </c>
      <c r="F4" s="9" t="s">
        <v>23</v>
      </c>
    </row>
    <row r="5" spans="1:7" x14ac:dyDescent="0.2">
      <c r="A5" s="8" t="s">
        <v>2</v>
      </c>
      <c r="B5" s="8" t="s">
        <v>7</v>
      </c>
      <c r="C5" s="8" t="s">
        <v>16</v>
      </c>
      <c r="D5" s="8" t="s">
        <v>19</v>
      </c>
      <c r="E5" s="11">
        <f>0.2*E2</f>
        <v>8104375.6000000006</v>
      </c>
      <c r="F5" s="8" t="s">
        <v>13</v>
      </c>
      <c r="G5" s="1"/>
    </row>
    <row r="6" spans="1:7" x14ac:dyDescent="0.2">
      <c r="A6" s="8" t="s">
        <v>2</v>
      </c>
      <c r="B6" s="8" t="s">
        <v>8</v>
      </c>
      <c r="C6" s="8" t="s">
        <v>16</v>
      </c>
      <c r="D6" s="8" t="s">
        <v>17</v>
      </c>
      <c r="E6" s="11">
        <f>0.1*E3</f>
        <v>0.1</v>
      </c>
      <c r="F6" s="8" t="s">
        <v>25</v>
      </c>
    </row>
    <row r="7" spans="1:7" x14ac:dyDescent="0.2">
      <c r="A7" s="9" t="s">
        <v>2</v>
      </c>
      <c r="B7" s="9" t="s">
        <v>27</v>
      </c>
      <c r="C7" s="9" t="s">
        <v>16</v>
      </c>
      <c r="D7" s="9" t="s">
        <v>17</v>
      </c>
      <c r="E7" s="10">
        <f>E5*E6*0.000000001</f>
        <v>8.1043756000000015E-4</v>
      </c>
      <c r="F7" s="9" t="s">
        <v>23</v>
      </c>
    </row>
    <row r="8" spans="1:7" x14ac:dyDescent="0.2">
      <c r="A8" s="8" t="s">
        <v>3</v>
      </c>
      <c r="B8" s="8" t="s">
        <v>9</v>
      </c>
      <c r="C8" s="8" t="s">
        <v>16</v>
      </c>
      <c r="D8" s="8" t="s">
        <v>19</v>
      </c>
      <c r="E8" s="11">
        <v>896000000</v>
      </c>
      <c r="F8" s="8" t="s">
        <v>13</v>
      </c>
    </row>
    <row r="9" spans="1:7" x14ac:dyDescent="0.2">
      <c r="A9" s="8" t="s">
        <v>3</v>
      </c>
      <c r="B9" s="8" t="s">
        <v>10</v>
      </c>
      <c r="C9" s="8" t="s">
        <v>16</v>
      </c>
      <c r="D9" s="8" t="s">
        <v>17</v>
      </c>
      <c r="E9" s="11">
        <v>0</v>
      </c>
      <c r="F9" s="8" t="s">
        <v>25</v>
      </c>
    </row>
    <row r="10" spans="1:7" x14ac:dyDescent="0.2">
      <c r="A10" s="9" t="s">
        <v>3</v>
      </c>
      <c r="B10" s="9" t="s">
        <v>28</v>
      </c>
      <c r="C10" s="9" t="s">
        <v>16</v>
      </c>
      <c r="D10" s="9" t="s">
        <v>17</v>
      </c>
      <c r="E10" s="10">
        <f>E8*E9*0.000000001</f>
        <v>0</v>
      </c>
      <c r="F10" s="9" t="s">
        <v>23</v>
      </c>
    </row>
    <row r="11" spans="1:7" x14ac:dyDescent="0.2">
      <c r="A11" s="9" t="s">
        <v>4</v>
      </c>
      <c r="B11" s="9" t="s">
        <v>22</v>
      </c>
      <c r="C11" s="9" t="s">
        <v>16</v>
      </c>
      <c r="D11" s="9" t="s">
        <v>24</v>
      </c>
      <c r="E11" s="10">
        <f>E10+E4</f>
        <v>4.0521878000000004E-2</v>
      </c>
      <c r="F11" s="9" t="s">
        <v>23</v>
      </c>
    </row>
    <row r="12" spans="1:7" x14ac:dyDescent="0.2">
      <c r="A12" s="9" t="s">
        <v>4</v>
      </c>
      <c r="B12" s="9" t="s">
        <v>20</v>
      </c>
      <c r="C12" s="9" t="s">
        <v>16</v>
      </c>
      <c r="D12" s="9" t="s">
        <v>19</v>
      </c>
      <c r="E12" s="10">
        <f>E2+E8</f>
        <v>936521878</v>
      </c>
      <c r="F12" s="9" t="s">
        <v>13</v>
      </c>
    </row>
    <row r="13" spans="1:7" x14ac:dyDescent="0.2">
      <c r="A13" s="9" t="s">
        <v>4</v>
      </c>
      <c r="B13" s="9" t="s">
        <v>21</v>
      </c>
      <c r="C13" s="9" t="s">
        <v>16</v>
      </c>
      <c r="D13" s="9" t="s">
        <v>17</v>
      </c>
      <c r="E13" s="10">
        <f>E11/E12*1000000000</f>
        <v>4.3268479842176202E-2</v>
      </c>
      <c r="F13" s="9" t="s">
        <v>25</v>
      </c>
    </row>
    <row r="14" spans="1:7" x14ac:dyDescent="0.2">
      <c r="A14" s="9" t="s">
        <v>4</v>
      </c>
      <c r="B14" s="9" t="s">
        <v>29</v>
      </c>
      <c r="C14" s="9" t="s">
        <v>16</v>
      </c>
      <c r="D14" s="9" t="s">
        <v>19</v>
      </c>
      <c r="E14" s="10">
        <f>E8+E5</f>
        <v>904104375.60000002</v>
      </c>
      <c r="F14" s="9" t="s">
        <v>13</v>
      </c>
    </row>
    <row r="15" spans="1:7" x14ac:dyDescent="0.2">
      <c r="A15" s="9" t="s">
        <v>4</v>
      </c>
      <c r="B15" s="9" t="s">
        <v>31</v>
      </c>
      <c r="C15" s="9" t="s">
        <v>16</v>
      </c>
      <c r="D15" s="9" t="s">
        <v>17</v>
      </c>
      <c r="E15" s="10">
        <f>E7+E10</f>
        <v>8.1043756000000015E-4</v>
      </c>
      <c r="F15" s="9" t="s">
        <v>23</v>
      </c>
    </row>
    <row r="16" spans="1:7" x14ac:dyDescent="0.2">
      <c r="A16" s="9" t="s">
        <v>4</v>
      </c>
      <c r="B16" s="9" t="s">
        <v>30</v>
      </c>
      <c r="C16" s="9" t="s">
        <v>16</v>
      </c>
      <c r="D16" s="9" t="s">
        <v>17</v>
      </c>
      <c r="E16" s="10">
        <f>E15/E14*1000000000</f>
        <v>8.9639822776232134E-4</v>
      </c>
      <c r="F16" s="9" t="s">
        <v>25</v>
      </c>
    </row>
    <row r="17" spans="1:6" x14ac:dyDescent="0.2">
      <c r="A17" s="9" t="s">
        <v>44</v>
      </c>
      <c r="B17" s="9" t="s">
        <v>41</v>
      </c>
      <c r="C17" s="9" t="s">
        <v>16</v>
      </c>
      <c r="D17" s="9" t="s">
        <v>17</v>
      </c>
      <c r="E17" s="10">
        <f>_xlfn.LET(_xlpm.LargeValue1,LARGE(Sheet2!B:B,COUNTIF(Sheet2!B:B,"&gt;"&amp;E13)+1),_xlpm.SmallValue1,SMALL(Sheet2!B:B,COUNTIF(Sheet2!B:B,"&lt;"&amp;E13)+1),_xlpm.VLookup1,VLOOKUP(_xlpm.LargeValue1,Sheet2!B:C,2,FALSE),_xlpm.VLookup2,VLOOKUP(_xlpm.SmallValue1,Sheet2!B:C,2,FALSE),_xlpm.VLookup1+((E13-_xlpm.LargeValue1)*(_xlpm.VLookup2-_xlpm.VLookup1))/(_xlpm.SmallValue1-_xlpm.LargeValue1))</f>
        <v>8.5008889691983544E-2</v>
      </c>
      <c r="F17" s="9" t="s">
        <v>43</v>
      </c>
    </row>
    <row r="18" spans="1:6" x14ac:dyDescent="0.2">
      <c r="A18" s="9" t="s">
        <v>44</v>
      </c>
      <c r="B18" s="9" t="s">
        <v>42</v>
      </c>
      <c r="C18" s="9" t="s">
        <v>16</v>
      </c>
      <c r="D18" s="9" t="s">
        <v>17</v>
      </c>
      <c r="E18" s="10">
        <f>_xlfn.LET(_xlpm.LargeValue1,LARGE(Sheet2!B:B,COUNTIF(Sheet2!B:B,"&gt;"&amp;E16)+1),_xlpm.SmallValue1,SMALL(Sheet2!B:B,COUNTIF(Sheet2!B:B,"&lt;"&amp;E16)+1),_xlpm.VLookup1,VLOOKUP(_xlpm.LargeValue1,Sheet2!B:C,2,FALSE),_xlpm.VLookup2,VLOOKUP(_xlpm.SmallValue1,Sheet2!B:C,2,FALSE),_xlpm.VLookup1+((E16-_xlpm.LargeValue1)*(_xlpm.VLookup2-_xlpm.VLookup1))/(_xlpm.SmallValue1-_xlpm.LargeValue1))</f>
        <v>1.2029907354359666E-4</v>
      </c>
      <c r="F18" s="9" t="s">
        <v>43</v>
      </c>
    </row>
    <row r="19" spans="1:6" x14ac:dyDescent="0.2">
      <c r="A19" s="8" t="s">
        <v>44</v>
      </c>
      <c r="B19" s="8" t="s">
        <v>45</v>
      </c>
      <c r="C19" s="8" t="s">
        <v>52</v>
      </c>
      <c r="D19" s="8" t="s">
        <v>52</v>
      </c>
      <c r="E19" s="11">
        <f>800560*2</f>
        <v>1601120</v>
      </c>
      <c r="F19" s="8" t="s">
        <v>49</v>
      </c>
    </row>
    <row r="20" spans="1:6" x14ac:dyDescent="0.2">
      <c r="A20" s="9" t="s">
        <v>44</v>
      </c>
      <c r="B20" s="9" t="s">
        <v>46</v>
      </c>
      <c r="C20" s="9" t="s">
        <v>16</v>
      </c>
      <c r="D20" s="9" t="s">
        <v>17</v>
      </c>
      <c r="E20" s="10">
        <f>E19*(1-E17)</f>
        <v>1465010.5665363714</v>
      </c>
      <c r="F20" s="9" t="s">
        <v>49</v>
      </c>
    </row>
    <row r="21" spans="1:6" x14ac:dyDescent="0.2">
      <c r="A21" s="9" t="s">
        <v>44</v>
      </c>
      <c r="B21" s="9" t="s">
        <v>47</v>
      </c>
      <c r="C21" s="9" t="s">
        <v>16</v>
      </c>
      <c r="D21" s="9" t="s">
        <v>17</v>
      </c>
      <c r="E21" s="10">
        <f>(1-E18)*E19</f>
        <v>1600927.3867473679</v>
      </c>
      <c r="F21" s="9" t="s">
        <v>49</v>
      </c>
    </row>
    <row r="22" spans="1:6" x14ac:dyDescent="0.2">
      <c r="A22" s="9" t="s">
        <v>44</v>
      </c>
      <c r="B22" s="9" t="s">
        <v>48</v>
      </c>
      <c r="C22" s="9" t="s">
        <v>16</v>
      </c>
      <c r="D22" s="9" t="s">
        <v>17</v>
      </c>
      <c r="E22" s="12">
        <f>E21-E20</f>
        <v>135916.82021099655</v>
      </c>
      <c r="F22" s="9" t="s">
        <v>49</v>
      </c>
    </row>
    <row r="23" spans="1:6" x14ac:dyDescent="0.2">
      <c r="E23" s="14">
        <f>E22/E19</f>
        <v>8.4888590618439938E-2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E30F7-E6F3-1640-BF96-2A046C2ECB8E}">
  <sheetPr codeName="Sheet2"/>
  <dimension ref="C3:I26"/>
  <sheetViews>
    <sheetView workbookViewId="0">
      <selection activeCell="G38" sqref="G38"/>
    </sheetView>
  </sheetViews>
  <sheetFormatPr baseColWidth="10" defaultRowHeight="16" x14ac:dyDescent="0.2"/>
  <cols>
    <col min="3" max="3" width="5.83203125" bestFit="1" customWidth="1"/>
    <col min="4" max="4" width="2.1640625" bestFit="1" customWidth="1"/>
    <col min="5" max="5" width="18.5" bestFit="1" customWidth="1"/>
    <col min="6" max="6" width="19.6640625" bestFit="1" customWidth="1"/>
    <col min="7" max="7" width="13.5" bestFit="1" customWidth="1"/>
    <col min="8" max="8" width="13" bestFit="1" customWidth="1"/>
    <col min="9" max="9" width="10.6640625" bestFit="1" customWidth="1"/>
  </cols>
  <sheetData>
    <row r="3" spans="3:9" x14ac:dyDescent="0.2">
      <c r="C3" t="s">
        <v>32</v>
      </c>
      <c r="E3" t="s">
        <v>33</v>
      </c>
      <c r="F3" t="s">
        <v>34</v>
      </c>
      <c r="G3" t="s">
        <v>35</v>
      </c>
      <c r="H3" t="s">
        <v>36</v>
      </c>
      <c r="I3" t="s">
        <v>37</v>
      </c>
    </row>
    <row r="4" spans="3:9" x14ac:dyDescent="0.2">
      <c r="D4">
        <v>0</v>
      </c>
      <c r="E4">
        <v>20</v>
      </c>
      <c r="F4">
        <v>23.1</v>
      </c>
      <c r="H4" t="s">
        <v>38</v>
      </c>
      <c r="I4" s="2">
        <v>0</v>
      </c>
    </row>
    <row r="5" spans="3:9" x14ac:dyDescent="0.2">
      <c r="D5">
        <v>0</v>
      </c>
      <c r="E5">
        <v>35.6</v>
      </c>
      <c r="F5">
        <v>41.1</v>
      </c>
      <c r="H5" t="s">
        <v>38</v>
      </c>
      <c r="I5" s="2">
        <v>0</v>
      </c>
    </row>
    <row r="6" spans="3:9" x14ac:dyDescent="0.2">
      <c r="D6">
        <v>0</v>
      </c>
      <c r="E6">
        <v>63.2</v>
      </c>
      <c r="F6">
        <v>73</v>
      </c>
      <c r="H6" t="s">
        <v>38</v>
      </c>
      <c r="I6" s="2">
        <v>0</v>
      </c>
    </row>
    <row r="7" spans="3:9" x14ac:dyDescent="0.2">
      <c r="D7">
        <v>0</v>
      </c>
      <c r="E7">
        <v>112.5</v>
      </c>
      <c r="F7">
        <v>130</v>
      </c>
      <c r="H7" s="3">
        <v>45022</v>
      </c>
      <c r="I7" s="2">
        <v>0.67</v>
      </c>
    </row>
    <row r="8" spans="3:9" x14ac:dyDescent="0.2">
      <c r="D8">
        <v>0</v>
      </c>
      <c r="E8">
        <v>200</v>
      </c>
      <c r="F8">
        <v>231</v>
      </c>
      <c r="H8" s="3">
        <v>45083</v>
      </c>
      <c r="I8" s="2">
        <v>1</v>
      </c>
    </row>
    <row r="9" spans="3:9" x14ac:dyDescent="0.2">
      <c r="D9">
        <v>1</v>
      </c>
      <c r="E9">
        <v>50</v>
      </c>
      <c r="F9">
        <v>53.2</v>
      </c>
      <c r="G9" s="2">
        <v>0.06</v>
      </c>
      <c r="H9" t="s">
        <v>38</v>
      </c>
      <c r="I9" s="2">
        <v>0</v>
      </c>
    </row>
    <row r="10" spans="3:9" x14ac:dyDescent="0.2">
      <c r="D10">
        <v>1</v>
      </c>
      <c r="E10">
        <v>66</v>
      </c>
      <c r="F10">
        <v>68.900000000000006</v>
      </c>
      <c r="G10" s="2">
        <v>0.04</v>
      </c>
      <c r="H10" s="3">
        <v>44931</v>
      </c>
      <c r="I10" s="2">
        <v>0.2</v>
      </c>
    </row>
    <row r="11" spans="3:9" x14ac:dyDescent="0.2">
      <c r="D11">
        <v>1</v>
      </c>
      <c r="E11">
        <v>87</v>
      </c>
      <c r="F11">
        <v>97.1</v>
      </c>
      <c r="G11" s="2">
        <v>0.12</v>
      </c>
      <c r="H11" s="3">
        <v>45022</v>
      </c>
      <c r="I11" s="2">
        <v>0.67</v>
      </c>
    </row>
    <row r="12" spans="3:9" x14ac:dyDescent="0.2">
      <c r="D12">
        <v>1</v>
      </c>
      <c r="E12">
        <v>115</v>
      </c>
      <c r="F12">
        <v>122</v>
      </c>
      <c r="G12" s="2">
        <v>0.06</v>
      </c>
      <c r="H12" s="3">
        <v>45022</v>
      </c>
      <c r="I12" s="2">
        <v>0.67</v>
      </c>
    </row>
    <row r="13" spans="3:9" x14ac:dyDescent="0.2">
      <c r="D13">
        <v>1</v>
      </c>
      <c r="E13">
        <v>152</v>
      </c>
      <c r="F13">
        <v>162</v>
      </c>
      <c r="G13" s="2">
        <v>7.0000000000000007E-2</v>
      </c>
      <c r="H13" s="3">
        <v>45052</v>
      </c>
      <c r="I13" s="2">
        <v>0.83</v>
      </c>
    </row>
    <row r="14" spans="3:9" x14ac:dyDescent="0.2">
      <c r="D14">
        <v>1</v>
      </c>
      <c r="E14">
        <v>200</v>
      </c>
      <c r="F14">
        <v>226</v>
      </c>
      <c r="G14" s="2">
        <v>0.13</v>
      </c>
      <c r="H14" s="3">
        <v>45052</v>
      </c>
      <c r="I14" s="2">
        <v>0.83</v>
      </c>
    </row>
    <row r="15" spans="3:9" x14ac:dyDescent="0.2">
      <c r="D15">
        <v>2</v>
      </c>
      <c r="E15">
        <v>60</v>
      </c>
      <c r="F15">
        <v>68.099999999999994</v>
      </c>
      <c r="G15" s="2">
        <v>0.14000000000000001</v>
      </c>
      <c r="H15" t="s">
        <v>38</v>
      </c>
      <c r="I15" s="2">
        <v>0</v>
      </c>
    </row>
    <row r="16" spans="3:9" x14ac:dyDescent="0.2">
      <c r="D16">
        <v>2</v>
      </c>
      <c r="E16">
        <v>72</v>
      </c>
      <c r="F16">
        <v>83.5</v>
      </c>
      <c r="G16" s="2">
        <v>0.16</v>
      </c>
      <c r="H16" s="3">
        <v>44963</v>
      </c>
      <c r="I16" s="2">
        <v>0.33</v>
      </c>
    </row>
    <row r="17" spans="4:9" x14ac:dyDescent="0.2">
      <c r="D17">
        <v>2</v>
      </c>
      <c r="E17">
        <v>86</v>
      </c>
      <c r="F17">
        <v>99.3</v>
      </c>
      <c r="G17" s="2">
        <v>0.15</v>
      </c>
      <c r="H17" s="3">
        <v>44962</v>
      </c>
      <c r="I17" s="2">
        <v>0.4</v>
      </c>
    </row>
    <row r="18" spans="4:9" x14ac:dyDescent="0.2">
      <c r="D18">
        <v>2</v>
      </c>
      <c r="E18">
        <v>104</v>
      </c>
      <c r="F18">
        <v>115</v>
      </c>
      <c r="G18" s="2">
        <v>0.1</v>
      </c>
      <c r="H18" s="3">
        <v>45022</v>
      </c>
      <c r="I18" s="2">
        <v>0.67</v>
      </c>
    </row>
    <row r="19" spans="4:9" x14ac:dyDescent="0.2">
      <c r="D19">
        <v>2</v>
      </c>
      <c r="E19">
        <v>125</v>
      </c>
      <c r="F19">
        <v>154</v>
      </c>
      <c r="G19" s="2">
        <v>0.22</v>
      </c>
      <c r="H19" s="3">
        <v>44991</v>
      </c>
      <c r="I19" s="2">
        <v>0.5</v>
      </c>
    </row>
    <row r="20" spans="4:9" x14ac:dyDescent="0.2">
      <c r="D20">
        <v>2</v>
      </c>
      <c r="E20">
        <v>150</v>
      </c>
      <c r="F20">
        <v>194</v>
      </c>
      <c r="G20" s="2">
        <v>0.28999999999999998</v>
      </c>
      <c r="H20" s="3">
        <v>45052</v>
      </c>
      <c r="I20" s="2">
        <v>0.83</v>
      </c>
    </row>
    <row r="21" spans="4:9" x14ac:dyDescent="0.2">
      <c r="D21">
        <v>3</v>
      </c>
      <c r="E21">
        <v>60</v>
      </c>
      <c r="F21">
        <v>70.5</v>
      </c>
      <c r="G21" s="2">
        <v>0.17</v>
      </c>
      <c r="H21" s="3">
        <v>44991</v>
      </c>
      <c r="I21" s="2">
        <v>0.5</v>
      </c>
    </row>
    <row r="22" spans="4:9" x14ac:dyDescent="0.2">
      <c r="D22">
        <v>3</v>
      </c>
      <c r="E22">
        <v>72</v>
      </c>
      <c r="F22">
        <v>84.6</v>
      </c>
      <c r="G22" s="2">
        <v>0.17</v>
      </c>
      <c r="H22" s="3">
        <v>45052</v>
      </c>
      <c r="I22" s="2">
        <v>0.83</v>
      </c>
    </row>
    <row r="23" spans="4:9" x14ac:dyDescent="0.2">
      <c r="D23">
        <v>3</v>
      </c>
      <c r="E23">
        <v>86</v>
      </c>
      <c r="F23">
        <v>105</v>
      </c>
      <c r="G23" s="2">
        <v>0.22</v>
      </c>
      <c r="H23" s="3">
        <v>45051</v>
      </c>
      <c r="I23" s="2">
        <v>1</v>
      </c>
    </row>
    <row r="24" spans="4:9" x14ac:dyDescent="0.2">
      <c r="D24">
        <v>3</v>
      </c>
      <c r="E24">
        <v>104</v>
      </c>
      <c r="F24">
        <v>124</v>
      </c>
      <c r="G24" s="2">
        <v>0.19</v>
      </c>
      <c r="H24" s="3">
        <v>45021</v>
      </c>
      <c r="I24" s="2">
        <v>0.8</v>
      </c>
    </row>
    <row r="25" spans="4:9" x14ac:dyDescent="0.2">
      <c r="D25">
        <v>3</v>
      </c>
      <c r="E25">
        <v>125</v>
      </c>
      <c r="F25">
        <v>151</v>
      </c>
      <c r="G25" s="2">
        <v>0.21</v>
      </c>
      <c r="H25" s="3">
        <v>45022</v>
      </c>
      <c r="I25" s="2">
        <v>0.67</v>
      </c>
    </row>
    <row r="26" spans="4:9" x14ac:dyDescent="0.2">
      <c r="D26">
        <v>3</v>
      </c>
      <c r="E26">
        <v>150</v>
      </c>
      <c r="F26">
        <v>190</v>
      </c>
      <c r="G26" s="2">
        <v>0.27</v>
      </c>
      <c r="H26" s="3">
        <v>45022</v>
      </c>
      <c r="I26" s="2">
        <v>0.67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2870A-F001-F444-9D80-8B423AE9486A}">
  <sheetPr codeName="Sheet3"/>
  <dimension ref="A1:C32"/>
  <sheetViews>
    <sheetView workbookViewId="0">
      <selection activeCell="H31" sqref="H31"/>
    </sheetView>
  </sheetViews>
  <sheetFormatPr baseColWidth="10" defaultRowHeight="16" x14ac:dyDescent="0.2"/>
  <cols>
    <col min="3" max="3" width="13.1640625" customWidth="1"/>
  </cols>
  <sheetData>
    <row r="1" spans="1:3" x14ac:dyDescent="0.2">
      <c r="A1" t="s">
        <v>39</v>
      </c>
      <c r="B1" t="s">
        <v>50</v>
      </c>
      <c r="C1" t="s">
        <v>51</v>
      </c>
    </row>
    <row r="2" spans="1:3" x14ac:dyDescent="0.2">
      <c r="A2" t="s">
        <v>40</v>
      </c>
      <c r="B2" s="4">
        <v>0</v>
      </c>
      <c r="C2">
        <v>0</v>
      </c>
    </row>
    <row r="3" spans="1:3" x14ac:dyDescent="0.2">
      <c r="A3" t="s">
        <v>40</v>
      </c>
      <c r="B3">
        <v>0.01</v>
      </c>
      <c r="C3">
        <v>1.34202712385877E-3</v>
      </c>
    </row>
    <row r="4" spans="1:3" x14ac:dyDescent="0.2">
      <c r="A4" t="s">
        <v>40</v>
      </c>
      <c r="B4" s="4">
        <v>0.02</v>
      </c>
      <c r="C4">
        <v>9.7699459496888193E-3</v>
      </c>
    </row>
    <row r="5" spans="1:3" x14ac:dyDescent="0.2">
      <c r="A5" t="s">
        <v>40</v>
      </c>
      <c r="B5">
        <v>0.03</v>
      </c>
      <c r="C5">
        <v>3.0696106800566499E-2</v>
      </c>
    </row>
    <row r="6" spans="1:3" x14ac:dyDescent="0.2">
      <c r="A6" t="s">
        <v>40</v>
      </c>
      <c r="B6" s="4">
        <v>0.04</v>
      </c>
      <c r="C6">
        <v>6.7545329452827499E-2</v>
      </c>
    </row>
    <row r="7" spans="1:3" x14ac:dyDescent="0.2">
      <c r="A7" t="s">
        <v>40</v>
      </c>
      <c r="B7">
        <v>0.05</v>
      </c>
      <c r="C7">
        <v>0.120975551092281</v>
      </c>
    </row>
    <row r="8" spans="1:3" x14ac:dyDescent="0.2">
      <c r="A8" t="s">
        <v>40</v>
      </c>
      <c r="B8" s="4">
        <v>0.06</v>
      </c>
      <c r="C8">
        <v>0.18864517483805601</v>
      </c>
    </row>
    <row r="9" spans="1:3" x14ac:dyDescent="0.2">
      <c r="A9" t="s">
        <v>40</v>
      </c>
      <c r="B9">
        <v>7.0000000000000007E-2</v>
      </c>
      <c r="C9">
        <v>0.26590974845756299</v>
      </c>
    </row>
    <row r="10" spans="1:3" x14ac:dyDescent="0.2">
      <c r="A10" t="s">
        <v>40</v>
      </c>
      <c r="B10" s="4">
        <v>0.08</v>
      </c>
      <c r="C10">
        <v>0.34718933419196801</v>
      </c>
    </row>
    <row r="11" spans="1:3" x14ac:dyDescent="0.2">
      <c r="A11" t="s">
        <v>40</v>
      </c>
      <c r="B11">
        <v>0.09</v>
      </c>
      <c r="C11">
        <v>0.42735434856410698</v>
      </c>
    </row>
    <row r="12" spans="1:3" x14ac:dyDescent="0.2">
      <c r="A12" t="s">
        <v>40</v>
      </c>
      <c r="B12" s="4">
        <v>0.1</v>
      </c>
      <c r="C12">
        <v>0.50259510089961201</v>
      </c>
    </row>
    <row r="13" spans="1:3" x14ac:dyDescent="0.2">
      <c r="A13" t="s">
        <v>40</v>
      </c>
      <c r="B13">
        <v>0.11</v>
      </c>
      <c r="C13">
        <v>0.57065111447218198</v>
      </c>
    </row>
    <row r="14" spans="1:3" x14ac:dyDescent="0.2">
      <c r="A14" t="s">
        <v>40</v>
      </c>
      <c r="B14" s="4">
        <v>0.12</v>
      </c>
      <c r="C14">
        <v>0.63059428257610295</v>
      </c>
    </row>
    <row r="15" spans="1:3" x14ac:dyDescent="0.2">
      <c r="A15" t="s">
        <v>40</v>
      </c>
      <c r="B15">
        <v>0.13</v>
      </c>
      <c r="C15">
        <v>0.68243463171306795</v>
      </c>
    </row>
    <row r="16" spans="1:3" x14ac:dyDescent="0.2">
      <c r="A16" t="s">
        <v>40</v>
      </c>
      <c r="B16" s="4">
        <v>0.14000000000000001</v>
      </c>
      <c r="C16">
        <v>0.72673695444186803</v>
      </c>
    </row>
    <row r="17" spans="1:3" x14ac:dyDescent="0.2">
      <c r="A17" t="s">
        <v>40</v>
      </c>
      <c r="B17">
        <v>0.15</v>
      </c>
      <c r="C17">
        <v>0.76432953158426897</v>
      </c>
    </row>
    <row r="18" spans="1:3" x14ac:dyDescent="0.2">
      <c r="A18" t="s">
        <v>40</v>
      </c>
      <c r="B18" s="4">
        <v>0.16</v>
      </c>
      <c r="C18">
        <v>0.796115052404336</v>
      </c>
    </row>
    <row r="19" spans="1:3" x14ac:dyDescent="0.2">
      <c r="A19" t="s">
        <v>40</v>
      </c>
      <c r="B19">
        <v>0.17</v>
      </c>
      <c r="C19">
        <v>0.82296324829869005</v>
      </c>
    </row>
    <row r="20" spans="1:3" x14ac:dyDescent="0.2">
      <c r="A20" t="s">
        <v>40</v>
      </c>
      <c r="B20" s="4">
        <v>0.18</v>
      </c>
      <c r="C20">
        <v>0.84565891970028495</v>
      </c>
    </row>
    <row r="21" spans="1:3" x14ac:dyDescent="0.2">
      <c r="A21" t="s">
        <v>40</v>
      </c>
      <c r="B21">
        <v>0.19</v>
      </c>
      <c r="C21">
        <v>0.86488348607043597</v>
      </c>
    </row>
    <row r="22" spans="1:3" x14ac:dyDescent="0.2">
      <c r="A22" t="s">
        <v>40</v>
      </c>
      <c r="B22" s="4">
        <v>0.2</v>
      </c>
      <c r="C22">
        <v>0.881214867752102</v>
      </c>
    </row>
    <row r="23" spans="1:3" x14ac:dyDescent="0.2">
      <c r="A23" t="s">
        <v>40</v>
      </c>
      <c r="B23">
        <v>0.21</v>
      </c>
      <c r="C23">
        <v>0.895136220168396</v>
      </c>
    </row>
    <row r="24" spans="1:3" x14ac:dyDescent="0.2">
      <c r="A24" t="s">
        <v>40</v>
      </c>
      <c r="B24" s="4">
        <v>0.22</v>
      </c>
      <c r="C24">
        <v>0.90704806530027304</v>
      </c>
    </row>
    <row r="25" spans="1:3" x14ac:dyDescent="0.2">
      <c r="A25" t="s">
        <v>40</v>
      </c>
      <c r="B25">
        <v>0.23</v>
      </c>
      <c r="C25">
        <v>0.91728091813853796</v>
      </c>
    </row>
    <row r="26" spans="1:3" x14ac:dyDescent="0.2">
      <c r="A26" t="s">
        <v>40</v>
      </c>
      <c r="B26" s="4">
        <v>0.24</v>
      </c>
      <c r="C26">
        <v>0.92610701353626601</v>
      </c>
    </row>
    <row r="27" spans="1:3" x14ac:dyDescent="0.2">
      <c r="A27" t="s">
        <v>40</v>
      </c>
      <c r="B27">
        <v>0.25</v>
      </c>
      <c r="C27">
        <v>0.93375057788776605</v>
      </c>
    </row>
    <row r="28" spans="1:3" x14ac:dyDescent="0.2">
      <c r="A28" t="s">
        <v>40</v>
      </c>
      <c r="B28" s="4">
        <v>0.26</v>
      </c>
      <c r="C28">
        <v>0.94039652836549503</v>
      </c>
    </row>
    <row r="29" spans="1:3" x14ac:dyDescent="0.2">
      <c r="A29" t="s">
        <v>40</v>
      </c>
      <c r="B29">
        <v>0.27</v>
      </c>
      <c r="C29">
        <v>0.94619769230409501</v>
      </c>
    </row>
    <row r="30" spans="1:3" x14ac:dyDescent="0.2">
      <c r="A30" t="s">
        <v>40</v>
      </c>
      <c r="B30" s="4">
        <v>0.28000000000000003</v>
      </c>
      <c r="C30">
        <v>0.95128072477573</v>
      </c>
    </row>
    <row r="31" spans="1:3" x14ac:dyDescent="0.2">
      <c r="A31" t="s">
        <v>40</v>
      </c>
      <c r="B31">
        <v>0.28999999999999998</v>
      </c>
      <c r="C31">
        <v>0.95575092361389002</v>
      </c>
    </row>
    <row r="32" spans="1:3" x14ac:dyDescent="0.2">
      <c r="A32" t="s">
        <v>40</v>
      </c>
      <c r="B32" s="4">
        <v>0.3</v>
      </c>
      <c r="C32">
        <v>0.95969613165289702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</vt:vector>
  </HeadingPairs>
  <TitlesOfParts>
    <vt:vector size="4" baseType="lpstr">
      <vt:lpstr>Parameters</vt:lpstr>
      <vt:lpstr>6ppd_data</vt:lpstr>
      <vt:lpstr>Sheet2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2023-08-23T00:16:05Z</dcterms:created>
  <dcterms:modified xsi:type="dcterms:W3CDTF">2023-08-24T16:03:31Z</dcterms:modified>
</cp:coreProperties>
</file>